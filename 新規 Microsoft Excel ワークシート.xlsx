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172.16.40.51\供覧用(220901)\02守谷駅\共有ファイル\その他\その他雑類\髙橋\"/>
    </mc:Choice>
  </mc:AlternateContent>
  <xr:revisionPtr revIDLastSave="0" documentId="13_ncr:1_{A8A21A75-A1AD-425B-B6F9-34841D9D12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11" i="1"/>
</calcChain>
</file>

<file path=xl/sharedStrings.xml><?xml version="1.0" encoding="utf-8"?>
<sst xmlns="http://schemas.openxmlformats.org/spreadsheetml/2006/main" count="14" uniqueCount="7">
  <si>
    <t>V1：初速度（km/h）</t>
  </si>
  <si>
    <t>V2：終速度（km/h、停止時は0）</t>
  </si>
  <si>
    <t>β：減速度（km/h/s）</t>
  </si>
  <si>
    <t>θ：線路勾配（‰、上りは正、下りは負）</t>
  </si>
  <si>
    <t>K：列車種別係数（電車は31、機関車牽引客車は30）</t>
  </si>
  <si>
    <t>t：空走時間（ブレーキ操作から実際に効き始めるまでの時間、秒）</t>
  </si>
  <si>
    <r>
      <t>S</t>
    </r>
    <r>
      <rPr>
        <sz val="12"/>
        <color rgb="FF000000"/>
        <rFont val="ＭＳ ゴシック"/>
        <family val="3"/>
        <charset val="128"/>
      </rPr>
      <t>：経過距離</t>
    </r>
    <r>
      <rPr>
        <sz val="12"/>
        <color rgb="FF000000"/>
        <rFont val="游ゴシック"/>
        <family val="2"/>
        <charset val="128"/>
      </rPr>
      <t>（</t>
    </r>
    <r>
      <rPr>
        <sz val="12"/>
        <color rgb="FF000000"/>
        <rFont val="Arial"/>
        <family val="2"/>
      </rPr>
      <t>m</t>
    </r>
    <r>
      <rPr>
        <sz val="12"/>
        <color rgb="FF000000"/>
        <rFont val="游ゴシック"/>
        <family val="2"/>
        <charset val="128"/>
      </rPr>
      <t>）</t>
    </r>
    <rPh sb="2" eb="6">
      <t>ケイカキョリ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</si>
</sst>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rgb="FF000000"/>
      <name val="Arial"/>
      <family val="2"/>
    </font>
    <font>
      <sz val="12"/>
      <color rgb="FF000000"/>
      <name val="ＭＳ ゴシック"/>
      <family val="3"/>
      <charset val="128"/>
    </font>
    <font>
      <sz val="12"/>
      <color rgb="FF0D0D0D"/>
      <name val="Yu Gothic"/>
      <family val="3"/>
      <charset val="128"/>
      <scheme val="minor"/>
    </font>
    <font>
      <sz val="12"/>
      <color rgb="FF000000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3"/>
    </xf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tabSelected="1" workbookViewId="0"/>
  </sheetViews>
  <sheetFormatPr defaultRowHeight="18.75"/>
  <cols>
    <col min="2" max="2" width="10.5" bestFit="1" customWidth="1"/>
  </cols>
  <sheetData>
    <row r="2" spans="2:3">
      <c r="C2" s="1"/>
    </row>
    <row r="3" spans="2:3">
      <c r="B3">
        <v>70</v>
      </c>
      <c r="C3" s="2" t="s">
        <v>0</v>
      </c>
    </row>
    <row r="4" spans="2:3">
      <c r="B4">
        <v>0</v>
      </c>
      <c r="C4" s="2" t="s">
        <v>1</v>
      </c>
    </row>
    <row r="5" spans="2:3">
      <c r="B5">
        <v>2</v>
      </c>
      <c r="C5" s="2" t="s">
        <v>2</v>
      </c>
    </row>
    <row r="6" spans="2:3">
      <c r="B6">
        <v>0</v>
      </c>
      <c r="C6" s="2" t="s">
        <v>3</v>
      </c>
    </row>
    <row r="7" spans="2:3">
      <c r="B7">
        <v>31</v>
      </c>
      <c r="C7" s="2" t="s">
        <v>4</v>
      </c>
    </row>
    <row r="8" spans="2:3">
      <c r="B8">
        <v>4</v>
      </c>
      <c r="C8" s="2" t="s">
        <v>5</v>
      </c>
    </row>
    <row r="11" spans="2:3" ht="19.5">
      <c r="B11">
        <f>((B3^2-B4^2)/(7.2*(B5+(B6/B7))))+(B8*B3/3.6)</f>
        <v>418.05555555555554</v>
      </c>
      <c r="C11" s="2" t="s">
        <v>6</v>
      </c>
    </row>
    <row r="14" spans="2:3">
      <c r="B14">
        <v>70</v>
      </c>
      <c r="C14" s="2" t="s">
        <v>0</v>
      </c>
    </row>
    <row r="15" spans="2:3">
      <c r="B15">
        <v>10</v>
      </c>
      <c r="C15" s="2" t="s">
        <v>1</v>
      </c>
    </row>
    <row r="16" spans="2:3" ht="19.5">
      <c r="B16">
        <v>400</v>
      </c>
      <c r="C16" s="2" t="s">
        <v>6</v>
      </c>
    </row>
    <row r="17" spans="2:3">
      <c r="B17">
        <v>0</v>
      </c>
      <c r="C17" s="2" t="s">
        <v>3</v>
      </c>
    </row>
    <row r="18" spans="2:3">
      <c r="B18">
        <v>31</v>
      </c>
      <c r="C18" s="2" t="s">
        <v>4</v>
      </c>
    </row>
    <row r="19" spans="2:3">
      <c r="B19">
        <v>4</v>
      </c>
      <c r="C19" s="2" t="s">
        <v>5</v>
      </c>
    </row>
    <row r="22" spans="2:3" ht="19.5">
      <c r="B22" s="3">
        <f>(B14^2-B15^2)/(7.2*(B16-B19*B14/3.6))-B17/B18</f>
        <v>2.0689655172413794</v>
      </c>
      <c r="C22" s="2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moriya-t03</dc:creator>
  <cp:lastModifiedBy>PC0219守谷駅</cp:lastModifiedBy>
  <dcterms:created xsi:type="dcterms:W3CDTF">2015-06-05T18:19:34Z</dcterms:created>
  <dcterms:modified xsi:type="dcterms:W3CDTF">2026-09-02T11:19:12Z</dcterms:modified>
</cp:coreProperties>
</file>